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/>
  <mc:AlternateContent xmlns:mc="http://schemas.openxmlformats.org/markup-compatibility/2006">
    <mc:Choice Requires="x15">
      <x15ac:absPath xmlns:x15ac="http://schemas.microsoft.com/office/spreadsheetml/2010/11/ac" url="C:\Users\sauti\Documents\Arduino\"/>
    </mc:Choice>
  </mc:AlternateContent>
  <bookViews>
    <workbookView xWindow="0" yWindow="0" windowWidth="24000" windowHeight="9510"/>
  </bookViews>
  <sheets>
    <sheet name="Tabelle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9" i="1"/>
  <c r="M8" i="1"/>
  <c r="E9" i="1"/>
  <c r="E8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12" i="1"/>
  <c r="D11" i="1"/>
  <c r="D10" i="1"/>
  <c r="D9" i="1"/>
</calcChain>
</file>

<file path=xl/sharedStrings.xml><?xml version="1.0" encoding="utf-8"?>
<sst xmlns="http://schemas.openxmlformats.org/spreadsheetml/2006/main" count="13" uniqueCount="9">
  <si>
    <t>3,14159265358979</t>
  </si>
  <si>
    <t>V =pi*r²*h</t>
  </si>
  <si>
    <t>leer</t>
  </si>
  <si>
    <t>Wassertiefe</t>
  </si>
  <si>
    <t>Abstand
Oberfläche</t>
  </si>
  <si>
    <t>Voll</t>
  </si>
  <si>
    <t>Wassertiefe=135-Abstand Oberfläche</t>
  </si>
  <si>
    <t>mL</t>
  </si>
  <si>
    <t>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</si>
</sst>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tabSelected="1" workbookViewId="0">
      <selection activeCell="P24" sqref="P24"/>
    </sheetView>
  </sheetViews>
  <sheetFormatPr baseColWidth="10" defaultRowHeight="15" x14ac:dyDescent="0.25"/>
  <cols>
    <col min="1" max="1" width="13.5703125" customWidth="1"/>
    <col min="3" max="3" width="4.85546875" customWidth="1"/>
    <col min="12" max="12" width="16.140625" customWidth="1"/>
    <col min="14" max="14" width="5.140625" customWidth="1"/>
  </cols>
  <sheetData>
    <row r="2" spans="1:13" x14ac:dyDescent="0.25">
      <c r="A2" t="s">
        <v>1</v>
      </c>
      <c r="D2" t="s">
        <v>0</v>
      </c>
    </row>
    <row r="5" spans="1:13" x14ac:dyDescent="0.25">
      <c r="A5" t="s">
        <v>6</v>
      </c>
      <c r="B5" s="3"/>
    </row>
    <row r="7" spans="1:13" ht="30" x14ac:dyDescent="0.25">
      <c r="A7" s="1"/>
      <c r="B7" s="2" t="s">
        <v>4</v>
      </c>
      <c r="C7" s="1"/>
      <c r="D7" s="1" t="s">
        <v>3</v>
      </c>
      <c r="E7" s="1" t="s">
        <v>7</v>
      </c>
      <c r="I7" s="1"/>
      <c r="J7" s="2" t="s">
        <v>4</v>
      </c>
      <c r="K7" s="1"/>
      <c r="L7" s="1" t="s">
        <v>3</v>
      </c>
      <c r="M7" s="1" t="s">
        <v>8</v>
      </c>
    </row>
    <row r="8" spans="1:13" x14ac:dyDescent="0.25">
      <c r="A8" s="1" t="s">
        <v>2</v>
      </c>
      <c r="B8" s="1">
        <v>135</v>
      </c>
      <c r="C8" s="1"/>
      <c r="D8" s="1">
        <v>0</v>
      </c>
      <c r="E8" s="1">
        <f>SUM(B21*D8)</f>
        <v>0</v>
      </c>
      <c r="I8" s="1" t="s">
        <v>2</v>
      </c>
      <c r="J8" s="1">
        <v>3</v>
      </c>
      <c r="K8" s="1"/>
      <c r="L8" s="1">
        <v>0</v>
      </c>
      <c r="M8" s="1">
        <f>SUM(J21*L8)</f>
        <v>0</v>
      </c>
    </row>
    <row r="9" spans="1:13" x14ac:dyDescent="0.25">
      <c r="A9" s="1"/>
      <c r="B9" s="1">
        <v>130</v>
      </c>
      <c r="C9" s="1"/>
      <c r="D9" s="1">
        <f>SUM(135-B9)</f>
        <v>5</v>
      </c>
      <c r="E9" s="4">
        <f>SUM(3.14159265358979*5*4.9*D9)/10</f>
        <v>38.484510006474927</v>
      </c>
      <c r="I9" s="1"/>
      <c r="J9" s="1">
        <v>2.89</v>
      </c>
      <c r="K9" s="1"/>
      <c r="L9" s="1">
        <f>SUM(3-J9)</f>
        <v>0.10999999999999988</v>
      </c>
      <c r="M9" s="4">
        <f>SUM(3.14159265358979*2500*L9)/10</f>
        <v>86.393797973719117</v>
      </c>
    </row>
    <row r="10" spans="1:13" x14ac:dyDescent="0.25">
      <c r="A10" s="1"/>
      <c r="B10" s="1">
        <v>125</v>
      </c>
      <c r="C10" s="1"/>
      <c r="D10" s="1">
        <f>SUM(135-B10)</f>
        <v>10</v>
      </c>
      <c r="E10" s="4">
        <f t="shared" ref="E10:E26" si="0">SUM(3.14159265358979*5*4.9*D10)/10</f>
        <v>76.969020012949855</v>
      </c>
      <c r="I10" s="1"/>
      <c r="J10" s="1">
        <v>2.78</v>
      </c>
      <c r="K10" s="1"/>
      <c r="L10" s="1">
        <f t="shared" ref="L10:L26" si="1">SUM(3-J10)</f>
        <v>0.2200000000000002</v>
      </c>
      <c r="M10" s="4">
        <f t="shared" ref="M10:M26" si="2">SUM(3.14159265358979*2500*L10)/10</f>
        <v>172.7875959474386</v>
      </c>
    </row>
    <row r="11" spans="1:13" x14ac:dyDescent="0.25">
      <c r="A11" s="1"/>
      <c r="B11" s="1">
        <v>120</v>
      </c>
      <c r="C11" s="1"/>
      <c r="D11" s="1">
        <f>SUM(135-B11)</f>
        <v>15</v>
      </c>
      <c r="E11" s="4">
        <f t="shared" si="0"/>
        <v>115.45353001942479</v>
      </c>
      <c r="I11" s="1"/>
      <c r="J11" s="1">
        <v>2.67</v>
      </c>
      <c r="K11" s="1"/>
      <c r="L11" s="1">
        <f t="shared" si="1"/>
        <v>0.33000000000000007</v>
      </c>
      <c r="M11" s="4">
        <f t="shared" si="2"/>
        <v>259.18139392115773</v>
      </c>
    </row>
    <row r="12" spans="1:13" x14ac:dyDescent="0.25">
      <c r="A12" s="1"/>
      <c r="B12" s="1">
        <v>115</v>
      </c>
      <c r="C12" s="1"/>
      <c r="D12" s="1">
        <f>SUM(135-B12)</f>
        <v>20</v>
      </c>
      <c r="E12" s="4">
        <f t="shared" si="0"/>
        <v>153.93804002589971</v>
      </c>
      <c r="I12" s="1"/>
      <c r="J12" s="1">
        <v>2.56</v>
      </c>
      <c r="K12" s="1"/>
      <c r="L12" s="1">
        <f t="shared" si="1"/>
        <v>0.43999999999999995</v>
      </c>
      <c r="M12" s="4">
        <f t="shared" si="2"/>
        <v>345.57519189487687</v>
      </c>
    </row>
    <row r="13" spans="1:13" x14ac:dyDescent="0.25">
      <c r="B13" s="1">
        <v>110</v>
      </c>
      <c r="D13" s="1">
        <f t="shared" ref="D13:D26" si="3">SUM(135-B13)</f>
        <v>25</v>
      </c>
      <c r="E13" s="4">
        <f t="shared" si="0"/>
        <v>192.42255003237466</v>
      </c>
      <c r="J13" s="1">
        <v>2.4500000000000002</v>
      </c>
      <c r="L13" s="1">
        <f t="shared" si="1"/>
        <v>0.54999999999999982</v>
      </c>
      <c r="M13" s="4">
        <f t="shared" si="2"/>
        <v>431.96898986859594</v>
      </c>
    </row>
    <row r="14" spans="1:13" x14ac:dyDescent="0.25">
      <c r="B14" s="1">
        <v>105</v>
      </c>
      <c r="D14" s="1">
        <f t="shared" si="3"/>
        <v>30</v>
      </c>
      <c r="E14" s="4">
        <f t="shared" si="0"/>
        <v>230.90706003884958</v>
      </c>
      <c r="J14" s="1">
        <v>2.34</v>
      </c>
      <c r="L14" s="1">
        <f t="shared" si="1"/>
        <v>0.66000000000000014</v>
      </c>
      <c r="M14" s="4">
        <f t="shared" si="2"/>
        <v>518.36278784231547</v>
      </c>
    </row>
    <row r="15" spans="1:13" x14ac:dyDescent="0.25">
      <c r="B15" s="1">
        <v>100</v>
      </c>
      <c r="D15" s="1">
        <f t="shared" si="3"/>
        <v>35</v>
      </c>
      <c r="E15" s="4">
        <f t="shared" si="0"/>
        <v>269.3915700453245</v>
      </c>
      <c r="J15" s="1">
        <v>2.23</v>
      </c>
      <c r="L15" s="1">
        <f t="shared" si="1"/>
        <v>0.77</v>
      </c>
      <c r="M15" s="4">
        <f t="shared" si="2"/>
        <v>604.75658581603454</v>
      </c>
    </row>
    <row r="16" spans="1:13" x14ac:dyDescent="0.25">
      <c r="B16" s="1">
        <v>95</v>
      </c>
      <c r="D16" s="1">
        <f t="shared" si="3"/>
        <v>40</v>
      </c>
      <c r="E16" s="4">
        <f t="shared" si="0"/>
        <v>307.87608005179942</v>
      </c>
      <c r="J16" s="1">
        <v>2.12</v>
      </c>
      <c r="L16" s="1">
        <f t="shared" si="1"/>
        <v>0.87999999999999989</v>
      </c>
      <c r="M16" s="4">
        <f t="shared" si="2"/>
        <v>691.15038378975373</v>
      </c>
    </row>
    <row r="17" spans="1:13" x14ac:dyDescent="0.25">
      <c r="B17" s="1">
        <v>90</v>
      </c>
      <c r="D17" s="1">
        <f t="shared" si="3"/>
        <v>45</v>
      </c>
      <c r="E17" s="4">
        <f t="shared" si="0"/>
        <v>346.36059005827434</v>
      </c>
      <c r="J17" s="1">
        <v>2.0099999999999998</v>
      </c>
      <c r="L17" s="1">
        <f t="shared" si="1"/>
        <v>0.99000000000000021</v>
      </c>
      <c r="M17" s="4">
        <f t="shared" si="2"/>
        <v>777.54418176347315</v>
      </c>
    </row>
    <row r="18" spans="1:13" x14ac:dyDescent="0.25">
      <c r="B18" s="1">
        <v>85</v>
      </c>
      <c r="D18" s="1">
        <f t="shared" si="3"/>
        <v>50</v>
      </c>
      <c r="E18" s="4">
        <f t="shared" si="0"/>
        <v>384.84510006474932</v>
      </c>
      <c r="J18" s="1">
        <v>1.9</v>
      </c>
      <c r="L18" s="1">
        <f t="shared" si="1"/>
        <v>1.1000000000000001</v>
      </c>
      <c r="M18" s="4">
        <f t="shared" si="2"/>
        <v>863.93797973719234</v>
      </c>
    </row>
    <row r="19" spans="1:13" x14ac:dyDescent="0.25">
      <c r="B19" s="1">
        <v>80</v>
      </c>
      <c r="D19" s="1">
        <f t="shared" si="3"/>
        <v>55</v>
      </c>
      <c r="E19" s="4">
        <f t="shared" si="0"/>
        <v>423.32961007122424</v>
      </c>
      <c r="J19" s="1">
        <v>1.79</v>
      </c>
      <c r="L19" s="1">
        <f t="shared" si="1"/>
        <v>1.21</v>
      </c>
      <c r="M19" s="4">
        <f t="shared" si="2"/>
        <v>950.33177771091141</v>
      </c>
    </row>
    <row r="20" spans="1:13" x14ac:dyDescent="0.25">
      <c r="B20" s="1">
        <v>75</v>
      </c>
      <c r="D20" s="1">
        <f t="shared" si="3"/>
        <v>60</v>
      </c>
      <c r="E20" s="4">
        <f t="shared" si="0"/>
        <v>461.81412007769916</v>
      </c>
      <c r="J20" s="1">
        <v>1.68</v>
      </c>
      <c r="L20" s="1">
        <f t="shared" si="1"/>
        <v>1.32</v>
      </c>
      <c r="M20" s="4">
        <f t="shared" si="2"/>
        <v>1036.7255756846307</v>
      </c>
    </row>
    <row r="21" spans="1:13" x14ac:dyDescent="0.25">
      <c r="B21" s="1">
        <v>70</v>
      </c>
      <c r="D21" s="1">
        <f t="shared" si="3"/>
        <v>65</v>
      </c>
      <c r="E21" s="4">
        <f t="shared" si="0"/>
        <v>500.29863008417408</v>
      </c>
      <c r="J21" s="1">
        <v>1.57</v>
      </c>
      <c r="L21" s="1">
        <f t="shared" si="1"/>
        <v>1.43</v>
      </c>
      <c r="M21" s="4">
        <f t="shared" si="2"/>
        <v>1123.1193736583498</v>
      </c>
    </row>
    <row r="22" spans="1:13" x14ac:dyDescent="0.25">
      <c r="B22" s="1">
        <v>65</v>
      </c>
      <c r="D22" s="1">
        <f t="shared" si="3"/>
        <v>70</v>
      </c>
      <c r="E22" s="4">
        <f t="shared" si="0"/>
        <v>538.783140090649</v>
      </c>
      <c r="J22" s="1">
        <v>1.46</v>
      </c>
      <c r="L22" s="1">
        <f t="shared" si="1"/>
        <v>1.54</v>
      </c>
      <c r="M22" s="4">
        <f t="shared" si="2"/>
        <v>1209.5131716320691</v>
      </c>
    </row>
    <row r="23" spans="1:13" x14ac:dyDescent="0.25">
      <c r="B23" s="1">
        <v>60</v>
      </c>
      <c r="D23" s="1">
        <f t="shared" si="3"/>
        <v>75</v>
      </c>
      <c r="E23" s="4">
        <f t="shared" si="0"/>
        <v>577.26765009712392</v>
      </c>
      <c r="J23" s="1">
        <v>1.35</v>
      </c>
      <c r="L23" s="1">
        <f t="shared" si="1"/>
        <v>1.65</v>
      </c>
      <c r="M23" s="4">
        <f t="shared" si="2"/>
        <v>1295.9069696057882</v>
      </c>
    </row>
    <row r="24" spans="1:13" x14ac:dyDescent="0.25">
      <c r="B24" s="1">
        <v>55</v>
      </c>
      <c r="D24" s="1">
        <f t="shared" si="3"/>
        <v>80</v>
      </c>
      <c r="E24" s="4">
        <f t="shared" si="0"/>
        <v>615.75216010359884</v>
      </c>
      <c r="J24" s="1">
        <v>1.24</v>
      </c>
      <c r="L24" s="1">
        <f t="shared" si="1"/>
        <v>1.76</v>
      </c>
      <c r="M24" s="4">
        <f t="shared" si="2"/>
        <v>1382.3007675795075</v>
      </c>
    </row>
    <row r="25" spans="1:13" x14ac:dyDescent="0.25">
      <c r="B25" s="1">
        <v>50</v>
      </c>
      <c r="D25" s="1">
        <f t="shared" si="3"/>
        <v>85</v>
      </c>
      <c r="E25" s="4">
        <f t="shared" si="0"/>
        <v>654.23667011007376</v>
      </c>
      <c r="J25" s="1">
        <v>1.1299999999999999</v>
      </c>
      <c r="L25" s="1">
        <f t="shared" si="1"/>
        <v>1.87</v>
      </c>
      <c r="M25" s="4">
        <f t="shared" si="2"/>
        <v>1468.6945655532268</v>
      </c>
    </row>
    <row r="26" spans="1:13" x14ac:dyDescent="0.25">
      <c r="A26" t="s">
        <v>5</v>
      </c>
      <c r="B26" s="1">
        <v>45</v>
      </c>
      <c r="D26" s="1">
        <f t="shared" si="3"/>
        <v>90</v>
      </c>
      <c r="E26" s="4">
        <f t="shared" si="0"/>
        <v>692.72118011654868</v>
      </c>
      <c r="I26" t="s">
        <v>5</v>
      </c>
      <c r="J26" s="1">
        <v>1.02</v>
      </c>
      <c r="L26" s="1">
        <f t="shared" si="1"/>
        <v>1.98</v>
      </c>
      <c r="M26" s="4">
        <f t="shared" si="2"/>
        <v>1555.0883635269461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sauti</dc:creator>
  <cp:lastModifiedBy>sauti</cp:lastModifiedBy>
  <dcterms:created xsi:type="dcterms:W3CDTF">2016-08-30T21:23:11Z</dcterms:created>
  <dcterms:modified xsi:type="dcterms:W3CDTF">2017-06-05T13:42:51Z</dcterms:modified>
</cp:coreProperties>
</file>